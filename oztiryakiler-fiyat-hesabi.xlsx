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tiryakiler Fiyat Hesab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4" fontId="2" fillId="5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8" customWidth="1" min="4" max="4"/>
    <col width="18" customWidth="1" min="5" max="5"/>
    <col width="22" customWidth="1" min="6" max="6"/>
    <col width="22" customWidth="1" min="7" max="7"/>
    <col width="22" customWidth="1" min="8" max="8"/>
  </cols>
  <sheetData>
    <row r="1" ht="38" customHeight="1">
      <c r="A1" s="1" t="inlineStr">
        <is>
          <t>M&amp;D Kodu</t>
        </is>
      </c>
      <c r="B1" s="1" t="inlineStr">
        <is>
          <t>Öz Kodu</t>
        </is>
      </c>
      <c r="C1" s="1" t="inlineStr">
        <is>
          <t>Açıklama</t>
        </is>
      </c>
      <c r="D1" s="1" t="inlineStr">
        <is>
          <t>Sayfa</t>
        </is>
      </c>
      <c r="E1" s="1" t="inlineStr">
        <is>
          <t>Öz Liste Fiyatı (EUR)</t>
        </is>
      </c>
      <c r="F1" s="1" t="inlineStr">
        <is>
          <t>İskonto %75 Sonrası (EUR)</t>
        </is>
      </c>
      <c r="G1" s="1" t="inlineStr">
        <is>
          <t>× 1.067 ÖTV = Maliyet (EUR)</t>
        </is>
      </c>
      <c r="H1" s="1" t="inlineStr">
        <is>
          <t>× 2.03 = Liste Fiyatı (EUR)</t>
        </is>
      </c>
    </row>
    <row r="2">
      <c r="A2" s="2" t="inlineStr">
        <is>
          <t>MDE4.PZC35.00</t>
        </is>
      </c>
      <c r="B2" s="2" t="inlineStr">
        <is>
          <t>79E3.PZC35.00</t>
        </is>
      </c>
      <c r="C2" s="2" t="inlineStr">
        <is>
          <t>PZC 35 TEZGAH USTU CAMLI PIZZA HAZIRLIK UNITESI</t>
        </is>
      </c>
      <c r="D2" s="2" t="n">
        <v>83</v>
      </c>
      <c r="E2" s="3" t="n">
        <v>1890.5238</v>
      </c>
      <c r="F2" s="4" t="n">
        <v>472.63095</v>
      </c>
      <c r="G2" s="5" t="n">
        <v>504.29722365</v>
      </c>
      <c r="H2" s="6" t="n">
        <v>1023.7233640095</v>
      </c>
    </row>
    <row r="3">
      <c r="A3" s="2" t="inlineStr">
        <is>
          <t>MDE4.PZC35.H0</t>
        </is>
      </c>
      <c r="B3" s="2" t="inlineStr">
        <is>
          <t>79E3.PZC35.H0</t>
        </is>
      </c>
      <c r="C3" s="2" t="inlineStr">
        <is>
          <t>PZC 35 YUKSEK PLEXIGLASS KAPAKLI  PIZZA HAZIRLIK UNITESI</t>
        </is>
      </c>
      <c r="D3" s="2" t="n">
        <v>83</v>
      </c>
      <c r="E3" s="3" t="n">
        <v>1768.5203</v>
      </c>
      <c r="F3" s="4" t="n">
        <v>442.130075</v>
      </c>
      <c r="G3" s="5" t="n">
        <v>471.752790025</v>
      </c>
      <c r="H3" s="6" t="n">
        <v>957.65816375075</v>
      </c>
    </row>
    <row r="4">
      <c r="A4" s="2" t="inlineStr">
        <is>
          <t>MDE4.PZC35.L0</t>
        </is>
      </c>
      <c r="B4" s="2" t="inlineStr">
        <is>
          <t>72E3.PZC35.L0</t>
        </is>
      </c>
      <c r="C4" s="2" t="inlineStr">
        <is>
          <t>PZC 35 ALCAK PLEXIGLASS KAPAKLI  PIZZA HAZIRLIK UNITESI HC</t>
        </is>
      </c>
      <c r="D4" s="2" t="n">
        <v>83</v>
      </c>
      <c r="E4" s="3" t="n">
        <v>1710.1708</v>
      </c>
      <c r="F4" s="4" t="n">
        <v>427.5427</v>
      </c>
      <c r="G4" s="5" t="n">
        <v>456.1880609</v>
      </c>
      <c r="H4" s="6" t="n">
        <v>926.0617636269999</v>
      </c>
    </row>
    <row r="5">
      <c r="A5" s="2" t="inlineStr">
        <is>
          <t>MDE4.PZC54.00</t>
        </is>
      </c>
      <c r="B5" s="2" t="inlineStr">
        <is>
          <t>79E3.PZC54.00</t>
        </is>
      </c>
      <c r="C5" s="2" t="inlineStr">
        <is>
          <t>PZC 54 TEZGAH USTU CAMLI PIZZA HAZIRLIK UNITESI</t>
        </is>
      </c>
      <c r="D5" s="2" t="n">
        <v>83</v>
      </c>
      <c r="E5" s="3" t="n">
        <v>2105.8865</v>
      </c>
      <c r="F5" s="4" t="n">
        <v>526.471625</v>
      </c>
      <c r="G5" s="5" t="n">
        <v>561.745223875</v>
      </c>
      <c r="H5" s="6" t="n">
        <v>1140.34280446625</v>
      </c>
    </row>
    <row r="6">
      <c r="A6" s="2" t="inlineStr">
        <is>
          <t>MDE4.PZC54.H0</t>
        </is>
      </c>
      <c r="B6" s="2" t="inlineStr">
        <is>
          <t>79E3.PZC54.H0</t>
        </is>
      </c>
      <c r="C6" s="2" t="inlineStr">
        <is>
          <t>PZC 54 YUKSEK PLEXIGLASS KAPAKLI  PIZZA HAZIRLIK UNITESI</t>
        </is>
      </c>
      <c r="D6" s="2" t="n">
        <v>83</v>
      </c>
      <c r="E6" s="3" t="n">
        <v>1998.7356</v>
      </c>
      <c r="F6" s="4" t="n">
        <v>499.6839</v>
      </c>
      <c r="G6" s="5" t="n">
        <v>533.1627212999999</v>
      </c>
      <c r="H6" s="6" t="n">
        <v>1082.320324239</v>
      </c>
    </row>
    <row r="7">
      <c r="A7" s="2" t="inlineStr">
        <is>
          <t>MDE4.PZC54.L0</t>
        </is>
      </c>
      <c r="B7" s="2" t="inlineStr">
        <is>
          <t>79E3.PZC54.L0</t>
        </is>
      </c>
      <c r="C7" s="2" t="inlineStr">
        <is>
          <t>PZC 54 ALCAK PLEXIGLASS KAPAKLI  PIZZA HAZIRLIK UNITESI</t>
        </is>
      </c>
      <c r="D7" s="2" t="n">
        <v>83</v>
      </c>
      <c r="E7" s="3" t="n">
        <v>1937.2034</v>
      </c>
      <c r="F7" s="4" t="n">
        <v>484.30085</v>
      </c>
      <c r="G7" s="5" t="n">
        <v>516.74900695</v>
      </c>
      <c r="H7" s="6" t="n">
        <v>1049.0004841085</v>
      </c>
    </row>
    <row r="8">
      <c r="A8" s="2" t="inlineStr">
        <is>
          <t>MDE4.PZC72.00</t>
        </is>
      </c>
      <c r="B8" s="2" t="inlineStr">
        <is>
          <t>79E3.PZC72.00</t>
        </is>
      </c>
      <c r="C8" s="2" t="inlineStr">
        <is>
          <t>PZC 72 TEZGAH USTU CAMLI PIZZA HAZIRLIK UNITESI</t>
        </is>
      </c>
      <c r="D8" s="2" t="n">
        <v>83</v>
      </c>
      <c r="E8" s="3" t="n">
        <v>2402.9385</v>
      </c>
      <c r="F8" s="4" t="n">
        <v>600.7346250000001</v>
      </c>
      <c r="G8" s="5" t="n">
        <v>640.983844875</v>
      </c>
      <c r="H8" s="6" t="n">
        <v>1301.19720509625</v>
      </c>
    </row>
    <row r="9">
      <c r="A9" s="2" t="inlineStr">
        <is>
          <t>MDE4.PZC72.H0</t>
        </is>
      </c>
      <c r="B9" s="2" t="inlineStr">
        <is>
          <t>79E3.PZC72.H0</t>
        </is>
      </c>
      <c r="C9" s="2" t="inlineStr">
        <is>
          <t>PZC 72 YUKSEK PLEXIGLASS KAPAKLI  PIZZA HAZIRLIK UNITESI</t>
        </is>
      </c>
      <c r="D9" s="2" t="n">
        <v>83</v>
      </c>
      <c r="E9" s="3" t="n">
        <v>2620.423</v>
      </c>
      <c r="F9" s="4" t="n">
        <v>655.1057499999999</v>
      </c>
      <c r="G9" s="5" t="n">
        <v>698.9978352499999</v>
      </c>
      <c r="H9" s="6" t="n">
        <v>1418.9656055575</v>
      </c>
    </row>
    <row r="10">
      <c r="A10" s="2" t="inlineStr">
        <is>
          <t>MDE4.PZC72.L0</t>
        </is>
      </c>
      <c r="B10" s="2" t="inlineStr">
        <is>
          <t>79E3.PZC72.L0</t>
        </is>
      </c>
      <c r="C10" s="2" t="inlineStr">
        <is>
          <t>PZC 72 ALCAK PLEXIGLASS KAPAKLI  PIZZA HAZIRLIK UNITESI</t>
        </is>
      </c>
      <c r="D10" s="2" t="n">
        <v>83</v>
      </c>
      <c r="E10" s="3" t="n">
        <v>2540.8555</v>
      </c>
      <c r="F10" s="4" t="n">
        <v>635.213875</v>
      </c>
      <c r="G10" s="5" t="n">
        <v>677.7732046249999</v>
      </c>
      <c r="H10" s="6" t="n">
        <v>1375.87960538875</v>
      </c>
    </row>
    <row r="11">
      <c r="A11" s="2" t="inlineStr">
        <is>
          <t>MDK4.06MDB.00</t>
        </is>
      </c>
      <c r="B11" s="2" t="inlineStr">
        <is>
          <t>7219.06NMV.00</t>
        </is>
      </c>
      <c r="C11" s="2" t="inlineStr">
        <is>
          <t>GN 600 NMV TEK INOX KAPI DIK TIP BUZDOLABI HİDROKARBON</t>
        </is>
      </c>
      <c r="D11" s="2" t="n">
        <v>74</v>
      </c>
      <c r="E11" s="3" t="n">
        <v>4427.135700000001</v>
      </c>
      <c r="F11" s="4" t="n">
        <v>1106.783925</v>
      </c>
      <c r="G11" s="5" t="n">
        <v>1180.938447975</v>
      </c>
      <c r="H11" s="6" t="n">
        <v>2397.30504938925</v>
      </c>
    </row>
    <row r="12">
      <c r="A12" s="2" t="inlineStr">
        <is>
          <t>MDK4.06MDB.01</t>
        </is>
      </c>
      <c r="B12" s="2" t="inlineStr">
        <is>
          <t>7919.06NMV.01</t>
        </is>
      </c>
      <c r="C12" s="2" t="inlineStr">
        <is>
          <t>GN 600 NMV TEK CAM KAPI DIK TIP BUZDOLABI</t>
        </is>
      </c>
      <c r="D12" s="2" t="n">
        <v>76</v>
      </c>
      <c r="E12" s="3" t="n">
        <v>4649.9247</v>
      </c>
      <c r="F12" s="4" t="n">
        <v>1162.481175</v>
      </c>
      <c r="G12" s="5" t="n">
        <v>1240.367413725</v>
      </c>
      <c r="H12" s="6" t="n">
        <v>2517.945849861749</v>
      </c>
    </row>
    <row r="13">
      <c r="A13" s="2" t="inlineStr">
        <is>
          <t>MDK4.06MDB.10</t>
        </is>
      </c>
      <c r="B13" s="2" t="inlineStr">
        <is>
          <t>7919.06NMV.10</t>
        </is>
      </c>
      <c r="C13" s="2" t="inlineStr">
        <is>
          <t>GN 600 NMV CIFT YARIM INOX KAPI DIK TIP BUZDOLABI</t>
        </is>
      </c>
      <c r="D13" s="2" t="n">
        <v>84</v>
      </c>
      <c r="E13" s="3" t="n">
        <v>4541.7129</v>
      </c>
      <c r="F13" s="4" t="n">
        <v>1135.428225</v>
      </c>
      <c r="G13" s="5" t="n">
        <v>1211.501916075</v>
      </c>
      <c r="H13" s="6" t="n">
        <v>2459.34888963225</v>
      </c>
    </row>
    <row r="14">
      <c r="A14" s="2" t="inlineStr">
        <is>
          <t>MDK4.06MDB.11</t>
        </is>
      </c>
      <c r="B14" s="2" t="inlineStr">
        <is>
          <t>7919.06NMV.11</t>
        </is>
      </c>
      <c r="C14" s="2" t="inlineStr">
        <is>
          <t>GN 600 NMV CIFT YARIM CAM KAPI DIK TIP BUZDOLABI</t>
        </is>
      </c>
      <c r="D14" s="2" t="n">
        <v>85</v>
      </c>
      <c r="E14" s="3" t="n">
        <v>4981.986400000001</v>
      </c>
      <c r="F14" s="4" t="n">
        <v>1245.4966</v>
      </c>
      <c r="G14" s="5" t="n">
        <v>1328.9448722</v>
      </c>
      <c r="H14" s="6" t="n">
        <v>2697.758090566</v>
      </c>
    </row>
    <row r="15">
      <c r="A15" s="2" t="inlineStr">
        <is>
          <t>MDK4.06MDD.00</t>
        </is>
      </c>
      <c r="B15" s="2" t="inlineStr">
        <is>
          <t>7219.06LMV.00</t>
        </is>
      </c>
      <c r="C15" s="2" t="inlineStr">
        <is>
          <t>GN 600 LMV TEK INOX KAPI DIK TIP DERIN DONDURUCU HİDROKARBON</t>
        </is>
      </c>
      <c r="D15" s="2" t="n">
        <v>75</v>
      </c>
      <c r="E15" s="3" t="n">
        <v>4753.892900000001</v>
      </c>
      <c r="F15" s="4" t="n">
        <v>1188.473225</v>
      </c>
      <c r="G15" s="5" t="n">
        <v>1268.100931075</v>
      </c>
      <c r="H15" s="6" t="n">
        <v>2574.24489008225</v>
      </c>
    </row>
    <row r="16">
      <c r="A16" s="2" t="inlineStr">
        <is>
          <t>MDK4.06MDD.10</t>
        </is>
      </c>
      <c r="B16" s="2" t="inlineStr">
        <is>
          <t>72K3.06LMV.10</t>
        </is>
      </c>
      <c r="C16" s="2" t="inlineStr">
        <is>
          <t>GN 600 LMV IKI YARIM KAPILI DERIN DONDURUCU HIDROKARBON K TIP</t>
        </is>
      </c>
      <c r="D16" s="2" t="n">
        <v>85</v>
      </c>
      <c r="E16" s="3" t="n">
        <v>4726.3095</v>
      </c>
      <c r="F16" s="4" t="n">
        <v>1181.577375</v>
      </c>
      <c r="G16" s="5" t="n">
        <v>1260.743059125</v>
      </c>
      <c r="H16" s="6" t="n">
        <v>2559.30841002375</v>
      </c>
    </row>
    <row r="17">
      <c r="A17" s="2" t="inlineStr">
        <is>
          <t>MDK4.12MDB.00</t>
        </is>
      </c>
      <c r="B17" s="2" t="inlineStr">
        <is>
          <t>72K3.12NMV.00</t>
        </is>
      </c>
      <c r="C17" s="2" t="inlineStr">
        <is>
          <t>GN 1200 NMV CIFT INOX KAPI DIK TIP BUZDOLABI HC K TİP</t>
        </is>
      </c>
      <c r="D17" s="2" t="n">
        <v>74</v>
      </c>
      <c r="E17" s="3" t="n">
        <v>5851.924400000001</v>
      </c>
      <c r="F17" s="4" t="n">
        <v>1462.9811</v>
      </c>
      <c r="G17" s="5" t="n">
        <v>1561.0008337</v>
      </c>
      <c r="H17" s="6" t="n">
        <v>3168.831692411</v>
      </c>
    </row>
    <row r="18">
      <c r="A18" s="2" t="inlineStr">
        <is>
          <t>MDK4.12MDB.01</t>
        </is>
      </c>
      <c r="B18" s="2" t="inlineStr">
        <is>
          <t>7919.12NMV.01</t>
        </is>
      </c>
      <c r="C18" s="2" t="inlineStr">
        <is>
          <t>GN 1200 NMV CIFT CAM KAPI DIK TIP BUZDOLABI</t>
        </is>
      </c>
      <c r="D18" s="2" t="n">
        <v>76</v>
      </c>
      <c r="E18" s="3" t="n">
        <v>6819.465200000001</v>
      </c>
      <c r="F18" s="4" t="n">
        <v>1704.8663</v>
      </c>
      <c r="G18" s="5" t="n">
        <v>1819.0923421</v>
      </c>
      <c r="H18" s="6" t="n">
        <v>3692.757454463</v>
      </c>
    </row>
    <row r="19">
      <c r="A19" s="2" t="inlineStr">
        <is>
          <t>MDK4.12MDB.10</t>
        </is>
      </c>
      <c r="B19" s="2" t="inlineStr">
        <is>
          <t>7919.12NMV.10</t>
        </is>
      </c>
      <c r="C19" s="2" t="inlineStr">
        <is>
          <t>GN 1200 NMV 4 YARIM INOX KAPI DIK TIP BUZDOLABI</t>
        </is>
      </c>
      <c r="D19" s="2" t="n">
        <v>84</v>
      </c>
      <c r="E19" s="3" t="n">
        <v>6862.962100000001</v>
      </c>
      <c r="F19" s="4" t="n">
        <v>1715.740525</v>
      </c>
      <c r="G19" s="5" t="n">
        <v>1830.695140175</v>
      </c>
      <c r="H19" s="6" t="n">
        <v>3716.31113455525</v>
      </c>
    </row>
    <row r="20">
      <c r="A20" s="2" t="inlineStr">
        <is>
          <t>MDK4.12MDB.11</t>
        </is>
      </c>
      <c r="B20" s="2" t="inlineStr">
        <is>
          <t>7919.12NMV.11</t>
        </is>
      </c>
      <c r="C20" s="2" t="inlineStr">
        <is>
          <t>GN 1200 NMV 4 YARIM CAM KAPI DIK TIP BUZDOLABI</t>
        </is>
      </c>
      <c r="D20" s="2" t="n">
        <v>85</v>
      </c>
      <c r="E20" s="3" t="n">
        <v>7376.4377</v>
      </c>
      <c r="F20" s="4" t="n">
        <v>1844.109425</v>
      </c>
      <c r="G20" s="5" t="n">
        <v>1967.664756475</v>
      </c>
      <c r="H20" s="6" t="n">
        <v>3994.35945564425</v>
      </c>
    </row>
    <row r="21">
      <c r="A21" s="2" t="inlineStr">
        <is>
          <t>MDK4.12MDD.00</t>
        </is>
      </c>
      <c r="B21" s="2" t="inlineStr">
        <is>
          <t>72K4.12LMV.00</t>
        </is>
      </c>
      <c r="C21" s="2" t="inlineStr">
        <is>
          <t>GN 1200 LMV TEK INOX KAPI DIK TIP FREEZER 290 GAZLI K TIP</t>
        </is>
      </c>
      <c r="D21" s="2" t="n">
        <v>75</v>
      </c>
      <c r="E21" s="3" t="n">
        <v>6520.2914</v>
      </c>
      <c r="F21" s="4" t="n">
        <v>1630.07285</v>
      </c>
      <c r="G21" s="5" t="n">
        <v>1739.28773095</v>
      </c>
      <c r="H21" s="6" t="n">
        <v>3530.7540938285</v>
      </c>
    </row>
    <row r="22">
      <c r="A22" s="2" t="inlineStr">
        <is>
          <t>MDK4.12MDD.10</t>
        </is>
      </c>
      <c r="B22" s="2" t="inlineStr">
        <is>
          <t>7919.12LMV.10</t>
        </is>
      </c>
      <c r="C22" s="2" t="inlineStr">
        <is>
          <t>GN 1200 LMV 4 YARIM INOX KAPI DIK TIP DERIN DONDURUCU</t>
        </is>
      </c>
      <c r="D22" s="2" t="n">
        <v>85</v>
      </c>
      <c r="E22" s="3" t="n">
        <v>7690.4641</v>
      </c>
      <c r="F22" s="4" t="n">
        <v>1922.616025</v>
      </c>
      <c r="G22" s="5" t="n">
        <v>2051.431298675</v>
      </c>
      <c r="H22" s="6" t="n">
        <v>4164.40553631025</v>
      </c>
    </row>
    <row r="23">
      <c r="A23" s="2" t="inlineStr">
        <is>
          <t>MDK4.27MDB.00</t>
        </is>
      </c>
      <c r="B23" s="2" t="inlineStr">
        <is>
          <t>72E3.27NMV.00</t>
        </is>
      </c>
      <c r="C23" s="2" t="inlineStr">
        <is>
          <t>TAG 270 NMV CIFT INOX KAPI YATAY TIP BUZDOLABI HIDROKARBON 304</t>
        </is>
      </c>
      <c r="D23" s="2" t="n">
        <v>77</v>
      </c>
      <c r="E23" s="3" t="n">
        <v>3854.2497</v>
      </c>
      <c r="F23" s="4" t="n">
        <v>963.5624250000001</v>
      </c>
      <c r="G23" s="5" t="n">
        <v>1028.121107475</v>
      </c>
      <c r="H23" s="6" t="n">
        <v>2087.08584817425</v>
      </c>
    </row>
    <row r="24">
      <c r="A24" s="2" t="inlineStr">
        <is>
          <t>MDK4.27MDB.01</t>
        </is>
      </c>
      <c r="B24" s="2" t="inlineStr">
        <is>
          <t>7919.27NMV.01</t>
        </is>
      </c>
      <c r="C24" s="2" t="inlineStr">
        <is>
          <t>TAG 270 NMV CIFT CAM KAPI YATAY TIP BUZDOLABI</t>
        </is>
      </c>
      <c r="D24" s="2" t="n">
        <v>77</v>
      </c>
      <c r="E24" s="3" t="n">
        <v>3556.1368</v>
      </c>
      <c r="F24" s="4" t="n">
        <v>889.0342000000001</v>
      </c>
      <c r="G24" s="5" t="n">
        <v>948.5994914</v>
      </c>
      <c r="H24" s="6" t="n">
        <v>1925.656967542</v>
      </c>
    </row>
    <row r="25">
      <c r="A25" s="2" t="inlineStr">
        <is>
          <t>MDK4.27MDB.02</t>
        </is>
      </c>
      <c r="B25" s="2" t="inlineStr">
        <is>
          <t>7919.27NMV.02</t>
        </is>
      </c>
      <c r="C25" s="2" t="inlineStr">
        <is>
          <t>TAG 270 NMV 4  CEKMECE YATAY TIP BUZDOLABI</t>
        </is>
      </c>
      <c r="D25" s="2" t="n">
        <v>77</v>
      </c>
      <c r="E25" s="3" t="n">
        <v>4663.7164</v>
      </c>
      <c r="F25" s="4" t="n">
        <v>1165.9291</v>
      </c>
      <c r="G25" s="5" t="n">
        <v>1244.0463497</v>
      </c>
      <c r="H25" s="6" t="n">
        <v>2525.414089891</v>
      </c>
    </row>
    <row r="26">
      <c r="A26" s="2" t="inlineStr">
        <is>
          <t>MDK4.27MDB.03</t>
        </is>
      </c>
      <c r="B26" s="2" t="inlineStr">
        <is>
          <t>79E3.27NMV.03</t>
        </is>
      </c>
      <c r="C26" s="2" t="inlineStr">
        <is>
          <t>TAG 270 NMV 6  CEKMECE YATAY TIP BUZDOLABI</t>
        </is>
      </c>
      <c r="D26" s="2" t="n">
        <v>77</v>
      </c>
      <c r="E26" s="3" t="n">
        <v>5841.3154</v>
      </c>
      <c r="F26" s="4" t="n">
        <v>1460.32885</v>
      </c>
      <c r="G26" s="5" t="n">
        <v>1558.17088295</v>
      </c>
      <c r="H26" s="6" t="n">
        <v>3163.0868923885</v>
      </c>
    </row>
    <row r="27">
      <c r="A27" s="2" t="inlineStr">
        <is>
          <t>MDK4.27MDD.00</t>
        </is>
      </c>
      <c r="B27" s="2" t="inlineStr">
        <is>
          <t>7919.27LMV.00</t>
        </is>
      </c>
      <c r="C27" s="2" t="inlineStr">
        <is>
          <t>TAG 270 LMV CIFT INOX KAPI YATAY TIP DERIN DONDURUCU</t>
        </is>
      </c>
      <c r="D27" s="2" t="n">
        <v>80</v>
      </c>
      <c r="E27" s="3" t="n">
        <v>3765.1341</v>
      </c>
      <c r="F27" s="4" t="n">
        <v>941.2835250000001</v>
      </c>
      <c r="G27" s="5" t="n">
        <v>1004.349521175</v>
      </c>
      <c r="H27" s="6" t="n">
        <v>2038.82952798525</v>
      </c>
    </row>
    <row r="28">
      <c r="A28" s="2" t="inlineStr">
        <is>
          <t>MDK4.27MDD.02</t>
        </is>
      </c>
      <c r="B28" s="2" t="inlineStr">
        <is>
          <t>7919.27LMV.02</t>
        </is>
      </c>
      <c r="C28" s="2" t="inlineStr">
        <is>
          <t>TAG 270 LMV 4  CEKMECE YATAY TIP DERIN DONDURUCU</t>
        </is>
      </c>
      <c r="D28" s="2" t="n">
        <v>80</v>
      </c>
      <c r="E28" s="3" t="n">
        <v>5131.573300000001</v>
      </c>
      <c r="F28" s="4" t="n">
        <v>1282.893325</v>
      </c>
      <c r="G28" s="5" t="n">
        <v>1368.847177775</v>
      </c>
      <c r="H28" s="6" t="n">
        <v>2778.75977088325</v>
      </c>
    </row>
    <row r="29">
      <c r="A29" s="2" t="inlineStr">
        <is>
          <t>MDK4.27MDD.03</t>
        </is>
      </c>
      <c r="B29" s="2" t="inlineStr">
        <is>
          <t>79E3.27LMV.03</t>
        </is>
      </c>
      <c r="C29" s="2" t="inlineStr">
        <is>
          <t>TAG 270 LMV 6  CEKMECE YATAY TIP DERIN DONDURUCU</t>
        </is>
      </c>
      <c r="D29" s="2" t="n">
        <v>80</v>
      </c>
      <c r="E29" s="3" t="n">
        <v>6313.4159</v>
      </c>
      <c r="F29" s="4" t="n">
        <v>1578.353975</v>
      </c>
      <c r="G29" s="5" t="n">
        <v>1684.103691325</v>
      </c>
      <c r="H29" s="6" t="n">
        <v>3418.73049338975</v>
      </c>
    </row>
    <row r="30">
      <c r="A30" s="2" t="inlineStr">
        <is>
          <t>MDK4.37MDB.00</t>
        </is>
      </c>
      <c r="B30" s="2" t="inlineStr">
        <is>
          <t>72E3.37NMV.00</t>
        </is>
      </c>
      <c r="C30" s="2" t="inlineStr">
        <is>
          <t>TAG 370 NMV 3 INOX KAPI YATAY TIP BUZDOLABI HİDROKARBON</t>
        </is>
      </c>
      <c r="D30" s="2" t="n">
        <v>78</v>
      </c>
      <c r="E30" s="3" t="n">
        <v>4937.4286</v>
      </c>
      <c r="F30" s="4" t="n">
        <v>1234.35715</v>
      </c>
      <c r="G30" s="5" t="n">
        <v>1317.05907905</v>
      </c>
      <c r="H30" s="6" t="n">
        <v>2673.6299304715</v>
      </c>
    </row>
    <row r="31">
      <c r="A31" s="2" t="inlineStr">
        <is>
          <t>MDK4.37MDB.01</t>
        </is>
      </c>
      <c r="B31" s="2" t="inlineStr">
        <is>
          <t>7919.37NMV.01</t>
        </is>
      </c>
      <c r="C31" s="2" t="inlineStr">
        <is>
          <t>TAG 370 NMV 3 CAM KAPI YATAY TIP BUZDOLABI</t>
        </is>
      </c>
      <c r="D31" s="2" t="n">
        <v>78</v>
      </c>
      <c r="E31" s="3" t="n">
        <v>4124.779200000001</v>
      </c>
      <c r="F31" s="4" t="n">
        <v>1031.1948</v>
      </c>
      <c r="G31" s="5" t="n">
        <v>1100.2848516</v>
      </c>
      <c r="H31" s="6" t="n">
        <v>2233.578248748</v>
      </c>
    </row>
    <row r="32">
      <c r="A32" s="2" t="inlineStr">
        <is>
          <t>MDK4.37MDB.02</t>
        </is>
      </c>
      <c r="B32" s="2" t="inlineStr">
        <is>
          <t>79E3.37NMV.02</t>
        </is>
      </c>
      <c r="C32" s="2" t="inlineStr">
        <is>
          <t>TAG 370 NMV 6  CEKMECE YATAY TIP BUZDOLABI</t>
        </is>
      </c>
      <c r="D32" s="2" t="n">
        <v>78</v>
      </c>
      <c r="E32" s="3" t="n">
        <v>6794.0036</v>
      </c>
      <c r="F32" s="4" t="n">
        <v>1698.5009</v>
      </c>
      <c r="G32" s="5" t="n">
        <v>1812.3004603</v>
      </c>
      <c r="H32" s="6" t="n">
        <v>3678.969934409</v>
      </c>
    </row>
    <row r="33">
      <c r="A33" s="2" t="inlineStr">
        <is>
          <t>MDK4.37MDB.03</t>
        </is>
      </c>
      <c r="B33" s="2" t="inlineStr">
        <is>
          <t>79E3.37NMV.03</t>
        </is>
      </c>
      <c r="C33" s="2" t="inlineStr">
        <is>
          <t>TAG 370 NMV 9  CEKMECE YATAY TIP BUZDOLABI</t>
        </is>
      </c>
      <c r="D33" s="2" t="n">
        <v>78</v>
      </c>
      <c r="E33" s="3" t="n">
        <v>7798.6759</v>
      </c>
      <c r="F33" s="4" t="n">
        <v>1949.668975</v>
      </c>
      <c r="G33" s="5" t="n">
        <v>2080.296796325</v>
      </c>
      <c r="H33" s="6" t="n">
        <v>4223.00249653975</v>
      </c>
    </row>
    <row r="34">
      <c r="A34" s="2" t="inlineStr">
        <is>
          <t>MDK4.37MDD.00</t>
        </is>
      </c>
      <c r="B34" s="2" t="inlineStr">
        <is>
          <t>72E4.37LMV.00</t>
        </is>
      </c>
      <c r="C34" s="2" t="inlineStr">
        <is>
          <t>TAG 370 LMV 3 INOX KAPI YATAY TIP BUZDOLABI HİDROKARBON 430</t>
        </is>
      </c>
      <c r="D34" s="2" t="n">
        <v>81</v>
      </c>
      <c r="E34" s="3" t="n">
        <v>4445.171</v>
      </c>
      <c r="F34" s="4" t="n">
        <v>1111.29275</v>
      </c>
      <c r="G34" s="5" t="n">
        <v>1185.74936425</v>
      </c>
      <c r="H34" s="6" t="n">
        <v>2407.0712094275</v>
      </c>
    </row>
    <row r="35">
      <c r="A35" s="2" t="inlineStr">
        <is>
          <t>MDK4.37MDD.02</t>
        </is>
      </c>
      <c r="B35" s="2" t="inlineStr">
        <is>
          <t>79E3.37LMV.02</t>
        </is>
      </c>
      <c r="C35" s="2" t="inlineStr">
        <is>
          <t>TAG 370 LMV 6  CEKMECE YATAY TIP DERIN DONDURUCU</t>
        </is>
      </c>
      <c r="D35" s="2" t="n">
        <v>81</v>
      </c>
      <c r="E35" s="3" t="n">
        <v>7295.809300000001</v>
      </c>
      <c r="F35" s="4" t="n">
        <v>1823.952325</v>
      </c>
      <c r="G35" s="5" t="n">
        <v>1946.157130775</v>
      </c>
      <c r="H35" s="6" t="n">
        <v>3950.69897547325</v>
      </c>
    </row>
    <row r="36">
      <c r="A36" s="2" t="inlineStr">
        <is>
          <t>MDK4.37MDD.03</t>
        </is>
      </c>
      <c r="B36" s="2" t="inlineStr">
        <is>
          <t>79E3.37LMV.03</t>
        </is>
      </c>
      <c r="C36" s="2" t="inlineStr">
        <is>
          <t>TAG 370 LMV 9  CEKMECE YATAY TIP DERIN DONDURUCU</t>
        </is>
      </c>
      <c r="D36" s="2" t="n">
        <v>81</v>
      </c>
      <c r="E36" s="3" t="n">
        <v>8266.532800000001</v>
      </c>
      <c r="F36" s="4" t="n">
        <v>2066.6332</v>
      </c>
      <c r="G36" s="5" t="n">
        <v>2205.0976244</v>
      </c>
      <c r="H36" s="6" t="n">
        <v>4476.348177532001</v>
      </c>
    </row>
    <row r="37">
      <c r="A37" s="2" t="inlineStr">
        <is>
          <t>MDK4.47MDB.00</t>
        </is>
      </c>
      <c r="B37" s="2" t="inlineStr">
        <is>
          <t>72E3.47NMV.00</t>
        </is>
      </c>
      <c r="C37" s="2" t="inlineStr">
        <is>
          <t>TAG 470 NMV 4 INOX KAPI YATAY TIP BUZDOLABI HİDROKARBON</t>
        </is>
      </c>
      <c r="D37" s="2" t="n">
        <v>79</v>
      </c>
      <c r="E37" s="3" t="n">
        <v>5746.8953</v>
      </c>
      <c r="F37" s="4" t="n">
        <v>1436.723825</v>
      </c>
      <c r="G37" s="5" t="n">
        <v>1532.984321275</v>
      </c>
      <c r="H37" s="6" t="n">
        <v>3111.95817218825</v>
      </c>
    </row>
    <row r="38">
      <c r="A38" s="2" t="inlineStr">
        <is>
          <t>MDK4.47MDB.01</t>
        </is>
      </c>
      <c r="B38" s="2" t="inlineStr">
        <is>
          <t>79E3.47NMV.01</t>
        </is>
      </c>
      <c r="C38" s="2" t="inlineStr">
        <is>
          <t>TAG 470 NMV 4 CAM KAPI YATAY TIP BUZDOLABI</t>
        </is>
      </c>
      <c r="D38" s="2" t="n">
        <v>79</v>
      </c>
      <c r="E38" s="3" t="n">
        <v>5806.305700000001</v>
      </c>
      <c r="F38" s="4" t="n">
        <v>1451.576425</v>
      </c>
      <c r="G38" s="5" t="n">
        <v>1548.832045475</v>
      </c>
      <c r="H38" s="6" t="n">
        <v>3144.12905231425</v>
      </c>
    </row>
    <row r="39">
      <c r="A39" s="2" t="inlineStr">
        <is>
          <t>MDK4.47MDB.02</t>
        </is>
      </c>
      <c r="B39" s="2" t="inlineStr">
        <is>
          <t>79E3.47NMV.02</t>
        </is>
      </c>
      <c r="C39" s="2" t="inlineStr">
        <is>
          <t>TAG 470 NMV 8  CEKMECE YATAY TIP BUZDOLABI</t>
        </is>
      </c>
      <c r="D39" s="2" t="n">
        <v>79</v>
      </c>
      <c r="E39" s="3" t="n">
        <v>8415.058800000001</v>
      </c>
      <c r="F39" s="4" t="n">
        <v>2103.7647</v>
      </c>
      <c r="G39" s="5" t="n">
        <v>2244.7169349</v>
      </c>
      <c r="H39" s="6" t="n">
        <v>4556.775377847</v>
      </c>
    </row>
    <row r="40">
      <c r="A40" s="2" t="inlineStr">
        <is>
          <t>MDK4.47MDB.03</t>
        </is>
      </c>
      <c r="B40" s="2" t="inlineStr">
        <is>
          <t>79E3.47NMV.03</t>
        </is>
      </c>
      <c r="C40" s="2" t="inlineStr">
        <is>
          <t>TAG 470 NMV 12  CEKMECE YATAY TIP BUZDOLABI</t>
        </is>
      </c>
      <c r="D40" s="2" t="n">
        <v>79</v>
      </c>
      <c r="E40" s="3" t="n">
        <v>9754.9755</v>
      </c>
      <c r="F40" s="4" t="n">
        <v>2438.743875</v>
      </c>
      <c r="G40" s="5" t="n">
        <v>2602.139714625</v>
      </c>
      <c r="H40" s="6" t="n">
        <v>5282.34362068875</v>
      </c>
    </row>
    <row r="41">
      <c r="A41" s="2" t="inlineStr">
        <is>
          <t>MDK4.47MDD.00</t>
        </is>
      </c>
      <c r="B41" s="2" t="inlineStr">
        <is>
          <t>79E3.47LMV.00</t>
        </is>
      </c>
      <c r="C41" s="2" t="inlineStr">
        <is>
          <t>TAG 470 LMV 4 INOX KAPI YATAY TIP DERIN DONDURUCU</t>
        </is>
      </c>
      <c r="D41" s="2" t="n">
        <v>82</v>
      </c>
      <c r="E41" s="3" t="n">
        <v>5924.065600000001</v>
      </c>
      <c r="F41" s="4" t="n">
        <v>1481.0164</v>
      </c>
      <c r="G41" s="5" t="n">
        <v>1580.2444988</v>
      </c>
      <c r="H41" s="6" t="n">
        <v>3207.896332564</v>
      </c>
    </row>
    <row r="42">
      <c r="A42" s="2" t="inlineStr">
        <is>
          <t>MDK4.47MDD.02</t>
        </is>
      </c>
      <c r="B42" s="2" t="inlineStr">
        <is>
          <t>79E3.47LMV.02</t>
        </is>
      </c>
      <c r="C42" s="2" t="inlineStr">
        <is>
          <t>TAG 470 LMV 8  CEKMECE YATAY TIP DERIN DONDURUCU</t>
        </is>
      </c>
      <c r="D42" s="2" t="n">
        <v>82</v>
      </c>
      <c r="E42" s="3" t="n">
        <v>9075.9995</v>
      </c>
      <c r="F42" s="4" t="n">
        <v>2268.999875</v>
      </c>
      <c r="G42" s="5" t="n">
        <v>2421.022866625</v>
      </c>
      <c r="H42" s="6" t="n">
        <v>4914.67641924875</v>
      </c>
    </row>
    <row r="43">
      <c r="A43" s="2" t="inlineStr">
        <is>
          <t>MDK4.47MDD.03</t>
        </is>
      </c>
      <c r="B43" s="2" t="inlineStr">
        <is>
          <t>79E3.47LMV.03</t>
        </is>
      </c>
      <c r="C43" s="2" t="inlineStr">
        <is>
          <t>TAG 470 LMV 12  CEKMECE YATAY TIP DERIN DONDURUCU</t>
        </is>
      </c>
      <c r="D43" s="2" t="n">
        <v>82</v>
      </c>
      <c r="E43" s="3" t="n">
        <v>10318.3134</v>
      </c>
      <c r="F43" s="4" t="n">
        <v>2579.57835</v>
      </c>
      <c r="G43" s="5" t="n">
        <v>2752.41009945</v>
      </c>
      <c r="H43" s="6" t="n">
        <v>5587.3925018835</v>
      </c>
    </row>
    <row r="44">
      <c r="A44" s="7" t="inlineStr">
        <is>
          <t>TOPLAM</t>
        </is>
      </c>
      <c r="E44" s="8">
        <f>SUM(E2:E43)</f>
        <v/>
      </c>
      <c r="F44" s="8">
        <f>SUM(F2:F43)</f>
        <v/>
      </c>
      <c r="G44" s="8">
        <f>SUM(G2:G43)</f>
        <v/>
      </c>
      <c r="H44" s="8">
        <f>SUM(H2:H43)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2026-05-24T12:40:58Z</dcterms:created>
  <dcterms:modified xmlns:dcterms="http://purl.org/dc/terms/" xmlns:xsi="http://www.w3.org/2001/XMLSchema-instance" xsi:type="dcterms:W3CDTF">2026-05-24T12:40:58Z</dcterms:modified>
</cp:coreProperties>
</file>